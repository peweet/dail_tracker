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using.cloud.gov.ie@SSL\DavWWWRoot\apps\eDocs\S\HLGF003\Files\HLGF003-001-2025\ARVs\"/>
    </mc:Choice>
  </mc:AlternateContent>
  <bookViews>
    <workbookView xWindow="0" yWindow="0" windowWidth="28800" windowHeight="11700"/>
  </bookViews>
  <sheets>
    <sheet name="ARVs" sheetId="1" r:id="rId1"/>
  </sheets>
  <calcPr calcId="162913"/>
</workbook>
</file>

<file path=xl/calcChain.xml><?xml version="1.0" encoding="utf-8"?>
<calcChain xmlns="http://schemas.openxmlformats.org/spreadsheetml/2006/main">
  <c r="D29" i="1" l="1"/>
  <c r="D17" i="1"/>
  <c r="E29" i="1"/>
  <c r="E17" i="1"/>
  <c r="G33" i="1"/>
  <c r="G30" i="1"/>
  <c r="G29" i="1"/>
  <c r="G28" i="1"/>
  <c r="G27" i="1"/>
  <c r="G21" i="1"/>
  <c r="G20" i="1"/>
  <c r="G18" i="1"/>
  <c r="G17" i="1"/>
  <c r="G16" i="1"/>
  <c r="G14" i="1"/>
  <c r="G12" i="1"/>
  <c r="G11" i="1"/>
  <c r="G10" i="1"/>
  <c r="G9" i="1"/>
  <c r="G7" i="1"/>
  <c r="G5" i="1"/>
</calcChain>
</file>

<file path=xl/sharedStrings.xml><?xml version="1.0" encoding="utf-8"?>
<sst xmlns="http://schemas.openxmlformats.org/spreadsheetml/2006/main" count="33" uniqueCount="33">
  <si>
    <t>Local Authority Name</t>
  </si>
  <si>
    <t>Carlow County Council</t>
  </si>
  <si>
    <t>Cavan County Council</t>
  </si>
  <si>
    <t>Clare County Council</t>
  </si>
  <si>
    <t>Cork City Council</t>
  </si>
  <si>
    <t>Cork County Council</t>
  </si>
  <si>
    <t>Donegal County Council</t>
  </si>
  <si>
    <t>Dublin City Council</t>
  </si>
  <si>
    <t>Dun Laoighaire Rathdown County Council</t>
  </si>
  <si>
    <t>Fingal County Council</t>
  </si>
  <si>
    <t>Galway City Council</t>
  </si>
  <si>
    <t>Galway County Council</t>
  </si>
  <si>
    <t>Kerry County Council</t>
  </si>
  <si>
    <t>Kildare County Council</t>
  </si>
  <si>
    <t>Kilkenny County Council</t>
  </si>
  <si>
    <t>Laois County Council</t>
  </si>
  <si>
    <t>Leitrim County Council</t>
  </si>
  <si>
    <t>Limerick City and County Council</t>
  </si>
  <si>
    <t>Longford County Council</t>
  </si>
  <si>
    <t>Louth County Council</t>
  </si>
  <si>
    <t>Mayo County Council</t>
  </si>
  <si>
    <t>Meath County Council</t>
  </si>
  <si>
    <t>Monaghan County Council</t>
  </si>
  <si>
    <t>Offaly County Council</t>
  </si>
  <si>
    <t>Roscommon County Council</t>
  </si>
  <si>
    <t>Sligo County Council</t>
  </si>
  <si>
    <t>South Dublin County Council</t>
  </si>
  <si>
    <t>Tipperary County Council</t>
  </si>
  <si>
    <t>Waterford City and County Council</t>
  </si>
  <si>
    <t>Westmeath County Council</t>
  </si>
  <si>
    <t>Wexford County Council</t>
  </si>
  <si>
    <t>Wicklow County Council</t>
  </si>
  <si>
    <t>Local Authority Annual Rates on Valuation in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</si>
</sst>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Arial"/>
      <family val="2"/>
    </font>
    <font>
      <b/>
      <sz val="10"/>
      <color theme="1"/>
      <name val="Times New Roman"/>
      <family val="1"/>
    </font>
    <font>
      <sz val="11"/>
      <color theme="0" tint="-0.499984740745262"/>
      <name val="Calibri"/>
      <family val="2"/>
      <scheme val="minor"/>
    </font>
    <font>
      <b/>
      <sz val="14"/>
      <color theme="4" tint="-0.24997711111789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2" borderId="2" xfId="0" applyFont="1" applyFill="1" applyBorder="1"/>
    <xf numFmtId="2" fontId="2" fillId="2" borderId="5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Continuous"/>
    </xf>
    <xf numFmtId="0" fontId="3" fillId="0" borderId="0" xfId="0" applyFont="1"/>
    <xf numFmtId="164" fontId="3" fillId="2" borderId="4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6" fillId="0" borderId="0" xfId="0" applyFont="1"/>
    <xf numFmtId="10" fontId="6" fillId="0" borderId="0" xfId="0" applyNumberFormat="1" applyFont="1"/>
    <xf numFmtId="164" fontId="2" fillId="2" borderId="8" xfId="0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0" fontId="0" fillId="0" borderId="0" xfId="0" applyNumberFormat="1"/>
    <xf numFmtId="0" fontId="6" fillId="0" borderId="0" xfId="0" applyFont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2" fontId="3" fillId="2" borderId="4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2" fontId="3" fillId="2" borderId="6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B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9525</xdr:rowOff>
    </xdr:from>
    <xdr:to>
      <xdr:col>5</xdr:col>
      <xdr:colOff>198133</xdr:colOff>
      <xdr:row>0</xdr:row>
      <xdr:rowOff>1000124</xdr:rowOff>
    </xdr:to>
    <xdr:pic>
      <xdr:nvPicPr>
        <xdr:cNvPr id="8" name="Picture 7" descr="http://doras.environ.local/org/corporate/Shared%20Documents/Deptartment%20logo-%20Standard%20Black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" y="9525"/>
          <a:ext cx="5549276" cy="990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workbookViewId="0">
      <selection activeCell="A35" sqref="A35"/>
    </sheetView>
  </sheetViews>
  <sheetFormatPr defaultRowHeight="14.4" x14ac:dyDescent="0.3"/>
  <cols>
    <col min="1" max="1" width="36.6640625" customWidth="1"/>
    <col min="2" max="5" width="10.6640625" customWidth="1"/>
    <col min="6" max="6" width="10.6640625" style="21" customWidth="1"/>
    <col min="7" max="7" width="10.6640625" style="14" customWidth="1"/>
    <col min="8" max="8" width="10.6640625" customWidth="1"/>
    <col min="9" max="9" width="10.6640625" style="15" customWidth="1"/>
    <col min="10" max="10" width="10.6640625" customWidth="1"/>
    <col min="11" max="11" width="10.6640625" style="5" customWidth="1"/>
  </cols>
  <sheetData>
    <row r="1" spans="1:11" ht="81" customHeight="1" x14ac:dyDescent="0.3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</row>
    <row r="2" spans="1:11" ht="24.9" customHeight="1" x14ac:dyDescent="0.3">
      <c r="A2" s="28" t="s">
        <v>32</v>
      </c>
      <c r="B2" s="28"/>
      <c r="C2" s="28"/>
      <c r="D2" s="28"/>
      <c r="E2" s="28"/>
      <c r="F2" s="29"/>
      <c r="G2" s="29"/>
      <c r="H2" s="29"/>
      <c r="I2" s="29"/>
      <c r="J2" s="29"/>
      <c r="K2" s="29"/>
    </row>
    <row r="3" spans="1:11" ht="8.1" customHeight="1" thickBot="1" x14ac:dyDescent="0.35"/>
    <row r="4" spans="1:11" x14ac:dyDescent="0.3">
      <c r="A4" s="4" t="s">
        <v>0</v>
      </c>
      <c r="B4" s="26">
        <v>2026</v>
      </c>
      <c r="C4" s="26">
        <v>2025</v>
      </c>
      <c r="D4" s="19">
        <v>2024</v>
      </c>
      <c r="E4" s="19">
        <v>2023</v>
      </c>
      <c r="F4" s="19">
        <v>2022</v>
      </c>
      <c r="G4" s="19">
        <v>2021</v>
      </c>
      <c r="H4" s="26">
        <v>2020</v>
      </c>
      <c r="I4" s="19">
        <v>2019</v>
      </c>
      <c r="J4" s="19">
        <v>2018</v>
      </c>
      <c r="K4" s="18">
        <v>2017</v>
      </c>
    </row>
    <row r="5" spans="1:11" x14ac:dyDescent="0.3">
      <c r="A5" s="1" t="s">
        <v>1</v>
      </c>
      <c r="B5" s="17">
        <v>0.27</v>
      </c>
      <c r="C5" s="7">
        <v>0.27</v>
      </c>
      <c r="D5" s="7">
        <v>0.27</v>
      </c>
      <c r="E5" s="7">
        <v>0.27</v>
      </c>
      <c r="F5" s="22">
        <v>0.2571</v>
      </c>
      <c r="G5" s="7">
        <f>J5</f>
        <v>0.2571</v>
      </c>
      <c r="H5" s="7">
        <v>0.2571</v>
      </c>
      <c r="I5" s="13">
        <v>0.2571</v>
      </c>
      <c r="J5" s="13">
        <v>0.2571</v>
      </c>
      <c r="K5" s="3">
        <v>69.56</v>
      </c>
    </row>
    <row r="6" spans="1:11" x14ac:dyDescent="0.3">
      <c r="A6" s="1" t="s">
        <v>2</v>
      </c>
      <c r="B6" s="13">
        <v>0.2432</v>
      </c>
      <c r="C6" s="8">
        <v>0.2432</v>
      </c>
      <c r="D6" s="8">
        <v>0.22109999999999999</v>
      </c>
      <c r="E6" s="24">
        <v>0.22109999999999999</v>
      </c>
      <c r="F6" s="6">
        <v>0.22109999999999999</v>
      </c>
      <c r="G6" s="8">
        <v>0.20100000000000001</v>
      </c>
      <c r="H6" s="7">
        <v>0.20100000000000001</v>
      </c>
      <c r="I6" s="13">
        <v>60.87</v>
      </c>
      <c r="J6" s="2">
        <v>60.873899999999999</v>
      </c>
      <c r="K6" s="3">
        <v>57.7</v>
      </c>
    </row>
    <row r="7" spans="1:11" x14ac:dyDescent="0.3">
      <c r="A7" s="1" t="s">
        <v>3</v>
      </c>
      <c r="B7" s="13">
        <v>0.2581</v>
      </c>
      <c r="C7" s="8">
        <v>0.23899999999999999</v>
      </c>
      <c r="D7" s="8">
        <v>0.23899999999999999</v>
      </c>
      <c r="E7" s="3">
        <v>75.760000000000005</v>
      </c>
      <c r="F7" s="23">
        <v>75.760000000000005</v>
      </c>
      <c r="G7" s="2">
        <f>J7</f>
        <v>72.989999999999995</v>
      </c>
      <c r="H7" s="3">
        <v>72.989999999999995</v>
      </c>
      <c r="I7" s="2">
        <v>72.989999999999995</v>
      </c>
      <c r="J7" s="13">
        <v>72.989999999999995</v>
      </c>
      <c r="K7" s="10">
        <v>72.989999999999995</v>
      </c>
    </row>
    <row r="8" spans="1:11" x14ac:dyDescent="0.3">
      <c r="A8" s="1" t="s">
        <v>4</v>
      </c>
      <c r="B8" s="13">
        <v>81.47</v>
      </c>
      <c r="C8" s="2">
        <v>77.59</v>
      </c>
      <c r="D8" s="2">
        <v>77.59</v>
      </c>
      <c r="E8" s="3">
        <v>77.59</v>
      </c>
      <c r="F8" s="23">
        <v>74.75</v>
      </c>
      <c r="G8" s="2">
        <v>74.75</v>
      </c>
      <c r="H8" s="3">
        <v>74.75</v>
      </c>
      <c r="I8" s="13">
        <v>74.98</v>
      </c>
      <c r="J8" s="13">
        <v>74.98</v>
      </c>
      <c r="K8" s="10">
        <v>74.98</v>
      </c>
    </row>
    <row r="9" spans="1:11" x14ac:dyDescent="0.3">
      <c r="A9" s="1" t="s">
        <v>5</v>
      </c>
      <c r="B9" s="13">
        <v>81.27</v>
      </c>
      <c r="C9" s="2">
        <v>81.27</v>
      </c>
      <c r="D9" s="2">
        <v>79.680000000000007</v>
      </c>
      <c r="E9" s="23">
        <v>79.680000000000007</v>
      </c>
      <c r="F9" s="23">
        <v>76.989999999999995</v>
      </c>
      <c r="G9" s="2">
        <f>J9</f>
        <v>74.75</v>
      </c>
      <c r="H9" s="3">
        <v>74.75</v>
      </c>
      <c r="I9" s="2">
        <v>74.75</v>
      </c>
      <c r="J9" s="2">
        <v>74.75</v>
      </c>
      <c r="K9" s="10">
        <v>74.75</v>
      </c>
    </row>
    <row r="10" spans="1:11" x14ac:dyDescent="0.3">
      <c r="A10" s="1" t="s">
        <v>6</v>
      </c>
      <c r="B10" s="8">
        <v>0.23200000000000001</v>
      </c>
      <c r="C10" s="7">
        <v>0.23200000000000001</v>
      </c>
      <c r="D10" s="7">
        <v>0.23200000000000001</v>
      </c>
      <c r="E10" s="3">
        <v>71.81</v>
      </c>
      <c r="F10" s="25">
        <v>71.81</v>
      </c>
      <c r="G10" s="2">
        <f>J10</f>
        <v>71.81</v>
      </c>
      <c r="H10" s="3">
        <v>71.81</v>
      </c>
      <c r="I10" s="13">
        <v>71.81</v>
      </c>
      <c r="J10" s="13">
        <v>71.81</v>
      </c>
      <c r="K10" s="10">
        <v>68.39</v>
      </c>
    </row>
    <row r="11" spans="1:11" x14ac:dyDescent="0.3">
      <c r="A11" s="1" t="s">
        <v>7</v>
      </c>
      <c r="B11" s="8">
        <v>0.28899999999999998</v>
      </c>
      <c r="C11" s="8">
        <v>0.28199999999999997</v>
      </c>
      <c r="D11" s="8">
        <v>0.27700000000000002</v>
      </c>
      <c r="E11" s="6">
        <v>0.27300000000000002</v>
      </c>
      <c r="F11" s="6">
        <v>0.26800000000000002</v>
      </c>
      <c r="G11" s="8">
        <f>J11*1.027</f>
        <v>0.26496599999999998</v>
      </c>
      <c r="H11" s="7">
        <v>0.26804699999999998</v>
      </c>
      <c r="I11" s="8">
        <v>0.26100000000000001</v>
      </c>
      <c r="J11" s="8">
        <v>0.25800000000000001</v>
      </c>
      <c r="K11" s="9">
        <v>0.25800000000000001</v>
      </c>
    </row>
    <row r="12" spans="1:11" x14ac:dyDescent="0.3">
      <c r="A12" s="1" t="s">
        <v>8</v>
      </c>
      <c r="B12" s="8">
        <v>0.214</v>
      </c>
      <c r="C12" s="27">
        <v>0.21190000000000001</v>
      </c>
      <c r="D12" s="8">
        <v>0.2077</v>
      </c>
      <c r="E12" s="7">
        <v>0.18010000000000001</v>
      </c>
      <c r="F12" s="6">
        <v>0.17319999999999999</v>
      </c>
      <c r="G12" s="8">
        <f>J12*1.035</f>
        <v>0.17315549999999999</v>
      </c>
      <c r="H12" s="7">
        <v>0.17315549999999999</v>
      </c>
      <c r="I12" s="13">
        <v>0.1673</v>
      </c>
      <c r="J12" s="13">
        <v>0.1673</v>
      </c>
      <c r="K12" s="10">
        <v>0.1648</v>
      </c>
    </row>
    <row r="13" spans="1:11" x14ac:dyDescent="0.3">
      <c r="A13" s="1" t="s">
        <v>9</v>
      </c>
      <c r="B13" s="13">
        <v>0.18679999999999999</v>
      </c>
      <c r="C13" s="8">
        <v>0.17960000000000001</v>
      </c>
      <c r="D13" s="8">
        <v>0.17960000000000001</v>
      </c>
      <c r="E13" s="7">
        <v>0.17960000000000001</v>
      </c>
      <c r="F13" s="6">
        <v>0.17960000000000001</v>
      </c>
      <c r="G13" s="8">
        <v>0.17960000000000001</v>
      </c>
      <c r="H13" s="7">
        <v>0.17960000000000001</v>
      </c>
      <c r="I13" s="8">
        <v>0.15</v>
      </c>
      <c r="J13" s="8">
        <v>0.14699999999999999</v>
      </c>
      <c r="K13" s="6">
        <v>0.14399999999999999</v>
      </c>
    </row>
    <row r="14" spans="1:11" x14ac:dyDescent="0.3">
      <c r="A14" s="1" t="s">
        <v>10</v>
      </c>
      <c r="B14" s="13">
        <v>0.2369</v>
      </c>
      <c r="C14" s="8">
        <v>0.23</v>
      </c>
      <c r="D14" s="8">
        <v>0.217</v>
      </c>
      <c r="E14" s="3">
        <v>67.400000000000006</v>
      </c>
      <c r="F14" s="23">
        <v>67.400000000000006</v>
      </c>
      <c r="G14" s="2">
        <f>J14</f>
        <v>67.400000000000006</v>
      </c>
      <c r="H14" s="3">
        <v>67.400000000000006</v>
      </c>
      <c r="I14" s="2">
        <v>67.400000000000006</v>
      </c>
      <c r="J14" s="2">
        <v>67.400000000000006</v>
      </c>
      <c r="K14" s="3">
        <v>67.400000000000006</v>
      </c>
    </row>
    <row r="15" spans="1:11" x14ac:dyDescent="0.3">
      <c r="A15" s="1" t="s">
        <v>11</v>
      </c>
      <c r="B15" s="8">
        <v>0.24</v>
      </c>
      <c r="C15" s="8">
        <v>0.240005</v>
      </c>
      <c r="D15" s="8">
        <v>0.2087</v>
      </c>
      <c r="E15" s="3">
        <v>70.59</v>
      </c>
      <c r="F15" s="23">
        <v>70.59</v>
      </c>
      <c r="G15" s="2">
        <v>66.59</v>
      </c>
      <c r="H15" s="3">
        <v>66.59</v>
      </c>
      <c r="I15" s="13">
        <v>66.59</v>
      </c>
      <c r="J15" s="13">
        <v>66.59</v>
      </c>
      <c r="K15" s="10">
        <v>66.59</v>
      </c>
    </row>
    <row r="16" spans="1:11" x14ac:dyDescent="0.3">
      <c r="A16" s="1" t="s">
        <v>12</v>
      </c>
      <c r="B16" s="8">
        <v>0.245</v>
      </c>
      <c r="C16" s="8">
        <v>0.245</v>
      </c>
      <c r="D16" s="8">
        <v>0.245</v>
      </c>
      <c r="E16" s="3">
        <v>79.25</v>
      </c>
      <c r="F16" s="23">
        <v>79.25</v>
      </c>
      <c r="G16" s="2">
        <f>J16</f>
        <v>79.25</v>
      </c>
      <c r="H16" s="3">
        <v>79.25</v>
      </c>
      <c r="I16" s="13">
        <v>79.25</v>
      </c>
      <c r="J16" s="13">
        <v>79.25</v>
      </c>
      <c r="K16" s="10">
        <v>79.25</v>
      </c>
    </row>
    <row r="17" spans="1:11" x14ac:dyDescent="0.3">
      <c r="A17" s="1" t="s">
        <v>13</v>
      </c>
      <c r="B17" s="13">
        <v>0.23130000000000001</v>
      </c>
      <c r="C17" s="8">
        <v>0.2268</v>
      </c>
      <c r="D17" s="8">
        <f>H17*1.01</f>
        <v>0.22684599999999999</v>
      </c>
      <c r="E17" s="7">
        <f>J17*1.01</f>
        <v>0.22684599999999999</v>
      </c>
      <c r="F17" s="6">
        <v>0.22459999999999999</v>
      </c>
      <c r="G17" s="8">
        <f>J17</f>
        <v>0.22459999999999999</v>
      </c>
      <c r="H17" s="7">
        <v>0.22459999999999999</v>
      </c>
      <c r="I17" s="8">
        <v>0.22459999999999999</v>
      </c>
      <c r="J17" s="13">
        <v>0.22459999999999999</v>
      </c>
      <c r="K17" s="10">
        <v>68.95</v>
      </c>
    </row>
    <row r="18" spans="1:11" x14ac:dyDescent="0.3">
      <c r="A18" s="1" t="s">
        <v>14</v>
      </c>
      <c r="B18" s="8">
        <v>0.223</v>
      </c>
      <c r="C18" s="8">
        <v>0.214</v>
      </c>
      <c r="D18" s="8">
        <v>0.20599999999999999</v>
      </c>
      <c r="E18" s="7">
        <v>0.20599999999999999</v>
      </c>
      <c r="F18" s="6">
        <v>0.2</v>
      </c>
      <c r="G18" s="8">
        <f>J18</f>
        <v>0.2</v>
      </c>
      <c r="H18" s="7">
        <v>0.2</v>
      </c>
      <c r="I18" s="8">
        <v>0.2</v>
      </c>
      <c r="J18" s="8">
        <v>0.2</v>
      </c>
      <c r="K18" s="3">
        <v>54.9</v>
      </c>
    </row>
    <row r="19" spans="1:11" x14ac:dyDescent="0.3">
      <c r="A19" s="1" t="s">
        <v>15</v>
      </c>
      <c r="B19" s="13">
        <v>0.23280000000000001</v>
      </c>
      <c r="C19" s="8">
        <v>0.22170000000000001</v>
      </c>
      <c r="D19" s="8">
        <v>0.22170000000000001</v>
      </c>
      <c r="E19" s="7">
        <v>0.22170000000000001</v>
      </c>
      <c r="F19" s="6">
        <v>0.22170000000000001</v>
      </c>
      <c r="G19" s="6">
        <v>0.22170000000000001</v>
      </c>
      <c r="H19" s="7">
        <v>0.22170000000000001</v>
      </c>
      <c r="I19" s="13">
        <v>0.22170000000000001</v>
      </c>
      <c r="J19" s="13">
        <v>66.569999999999993</v>
      </c>
      <c r="K19" s="10">
        <v>66.569999999999993</v>
      </c>
    </row>
    <row r="20" spans="1:11" x14ac:dyDescent="0.3">
      <c r="A20" s="1" t="s">
        <v>16</v>
      </c>
      <c r="B20" s="13">
        <v>0.26860000000000001</v>
      </c>
      <c r="C20" s="8">
        <v>0.25580000000000003</v>
      </c>
      <c r="D20" s="8">
        <v>0.24360000000000001</v>
      </c>
      <c r="E20" s="7">
        <v>0.2354</v>
      </c>
      <c r="F20" s="7">
        <v>0.22739999999999999</v>
      </c>
      <c r="G20" s="8">
        <f>J20*1.05</f>
        <v>0.22081499999999998</v>
      </c>
      <c r="H20" s="7">
        <v>0.22081499999999998</v>
      </c>
      <c r="I20" s="8">
        <v>0.21029999999999999</v>
      </c>
      <c r="J20" s="13">
        <v>0.21029999999999999</v>
      </c>
      <c r="K20" s="10">
        <v>62.15</v>
      </c>
    </row>
    <row r="21" spans="1:11" x14ac:dyDescent="0.3">
      <c r="A21" s="1" t="s">
        <v>17</v>
      </c>
      <c r="B21" s="13">
        <v>0.29649999999999999</v>
      </c>
      <c r="C21" s="8">
        <v>0.2797</v>
      </c>
      <c r="D21" s="8">
        <v>0.2797</v>
      </c>
      <c r="E21" s="7">
        <v>0.2797</v>
      </c>
      <c r="F21" s="7">
        <v>0.26769999999999999</v>
      </c>
      <c r="G21" s="8">
        <f>J21</f>
        <v>0.26269999999999999</v>
      </c>
      <c r="H21" s="7">
        <v>0.26769999999999999</v>
      </c>
      <c r="I21" s="13">
        <v>0.26769999999999999</v>
      </c>
      <c r="J21" s="13">
        <v>0.26269999999999999</v>
      </c>
      <c r="K21" s="7">
        <v>0.25819999999999999</v>
      </c>
    </row>
    <row r="22" spans="1:11" x14ac:dyDescent="0.3">
      <c r="A22" s="1" t="s">
        <v>18</v>
      </c>
      <c r="B22" s="13">
        <v>0.27529999999999999</v>
      </c>
      <c r="C22" s="8">
        <v>0.26469999999999999</v>
      </c>
      <c r="D22" s="8">
        <v>0.25209999999999999</v>
      </c>
      <c r="E22" s="7">
        <v>0.25209999999999999</v>
      </c>
      <c r="F22" s="6">
        <v>0.24</v>
      </c>
      <c r="G22" s="8">
        <v>0.24</v>
      </c>
      <c r="H22" s="7">
        <v>0.24010000000000001</v>
      </c>
      <c r="I22" s="8">
        <v>0.24010000000000001</v>
      </c>
      <c r="J22" s="8">
        <v>0.24</v>
      </c>
      <c r="K22" s="10">
        <v>65.349999999999994</v>
      </c>
    </row>
    <row r="23" spans="1:11" x14ac:dyDescent="0.3">
      <c r="A23" s="1" t="s">
        <v>19</v>
      </c>
      <c r="B23" s="13">
        <v>0.2235</v>
      </c>
      <c r="C23" s="7">
        <v>0.21909999999999999</v>
      </c>
      <c r="D23" s="7">
        <v>0.21909999999999999</v>
      </c>
      <c r="E23" s="24">
        <v>0.21909999999999999</v>
      </c>
      <c r="F23" s="24">
        <v>0.21</v>
      </c>
      <c r="G23" s="8">
        <v>0.21</v>
      </c>
      <c r="H23" s="7">
        <v>0.21</v>
      </c>
      <c r="I23" s="2">
        <v>60</v>
      </c>
      <c r="J23" s="2">
        <v>60</v>
      </c>
      <c r="K23" s="12">
        <v>60</v>
      </c>
    </row>
    <row r="24" spans="1:11" x14ac:dyDescent="0.3">
      <c r="A24" s="1" t="s">
        <v>20</v>
      </c>
      <c r="B24" s="8">
        <v>0.247</v>
      </c>
      <c r="C24" s="8">
        <v>0.247</v>
      </c>
      <c r="D24" s="8">
        <v>0.23499999999999999</v>
      </c>
      <c r="E24" s="3">
        <v>78.42</v>
      </c>
      <c r="F24" s="23">
        <v>78.42</v>
      </c>
      <c r="G24" s="2">
        <v>78.42</v>
      </c>
      <c r="H24" s="3">
        <v>78.42</v>
      </c>
      <c r="I24" s="2">
        <v>75.400000000000006</v>
      </c>
      <c r="J24" s="13">
        <v>73.92</v>
      </c>
      <c r="K24" s="10">
        <v>68.760000000000005</v>
      </c>
    </row>
    <row r="25" spans="1:11" x14ac:dyDescent="0.3">
      <c r="A25" s="1" t="s">
        <v>21</v>
      </c>
      <c r="B25" s="13">
        <v>0.2132</v>
      </c>
      <c r="C25" s="8">
        <v>0.1938</v>
      </c>
      <c r="D25" s="8">
        <v>0.1938</v>
      </c>
      <c r="E25" s="7">
        <v>0.1938</v>
      </c>
      <c r="F25" s="6">
        <v>0.1938</v>
      </c>
      <c r="G25" s="8">
        <v>0.1938</v>
      </c>
      <c r="H25" s="7">
        <v>0.1938</v>
      </c>
      <c r="I25" s="13">
        <v>69.625</v>
      </c>
      <c r="J25" s="13">
        <v>69.625</v>
      </c>
      <c r="K25" s="11">
        <v>69.625</v>
      </c>
    </row>
    <row r="26" spans="1:11" x14ac:dyDescent="0.3">
      <c r="A26" s="1" t="s">
        <v>22</v>
      </c>
      <c r="B26" s="13">
        <v>0.25940000000000002</v>
      </c>
      <c r="C26" s="8">
        <v>0.25180000000000002</v>
      </c>
      <c r="D26" s="8">
        <v>0.2445</v>
      </c>
      <c r="E26" s="7">
        <v>0.2374</v>
      </c>
      <c r="F26" s="6">
        <v>0.22600000000000001</v>
      </c>
      <c r="G26" s="8">
        <v>0.22600000000000001</v>
      </c>
      <c r="H26" s="7">
        <v>0.22600000000000001</v>
      </c>
      <c r="I26" s="13">
        <v>59.04</v>
      </c>
      <c r="J26" s="13">
        <v>57.63</v>
      </c>
      <c r="K26" s="3">
        <v>56.2</v>
      </c>
    </row>
    <row r="27" spans="1:11" x14ac:dyDescent="0.3">
      <c r="A27" s="1" t="s">
        <v>23</v>
      </c>
      <c r="B27" s="13">
        <v>0.23080000000000001</v>
      </c>
      <c r="C27" s="8">
        <v>0.2198</v>
      </c>
      <c r="D27" s="8">
        <v>0.2198</v>
      </c>
      <c r="E27" s="7">
        <v>0.2198</v>
      </c>
      <c r="F27" s="6">
        <v>0.2198</v>
      </c>
      <c r="G27" s="8">
        <f>J27</f>
        <v>0.2198</v>
      </c>
      <c r="H27" s="7">
        <v>0.2198</v>
      </c>
      <c r="I27" s="13">
        <v>0.2198</v>
      </c>
      <c r="J27" s="13">
        <v>0.2198</v>
      </c>
      <c r="K27" s="3">
        <v>66</v>
      </c>
    </row>
    <row r="28" spans="1:11" x14ac:dyDescent="0.3">
      <c r="A28" s="1" t="s">
        <v>24</v>
      </c>
      <c r="B28" s="8">
        <v>0.248</v>
      </c>
      <c r="C28" s="8">
        <v>0.23619999999999999</v>
      </c>
      <c r="D28" s="8">
        <v>0.22500000000000001</v>
      </c>
      <c r="E28" s="7">
        <v>0.22500000000000001</v>
      </c>
      <c r="F28" s="6">
        <v>0.22500000000000001</v>
      </c>
      <c r="G28" s="8">
        <f>J28</f>
        <v>0.22500000000000001</v>
      </c>
      <c r="H28" s="7">
        <v>0.22500000000000001</v>
      </c>
      <c r="I28" s="8">
        <v>0.22500000000000001</v>
      </c>
      <c r="J28" s="8">
        <v>0.22500000000000001</v>
      </c>
      <c r="K28" s="10">
        <v>71.44</v>
      </c>
    </row>
    <row r="29" spans="1:11" x14ac:dyDescent="0.3">
      <c r="A29" s="1" t="s">
        <v>25</v>
      </c>
      <c r="B29" s="13">
        <v>0.25359999999999999</v>
      </c>
      <c r="C29" s="7">
        <v>0.25359999999999999</v>
      </c>
      <c r="D29" s="7">
        <f>0.2415</f>
        <v>0.24149999999999999</v>
      </c>
      <c r="E29" s="7">
        <f>0.2415</f>
        <v>0.24149999999999999</v>
      </c>
      <c r="F29" s="6">
        <v>0.23</v>
      </c>
      <c r="G29" s="16">
        <f>J29</f>
        <v>0.23050000000000001</v>
      </c>
      <c r="H29" s="17">
        <v>0.23</v>
      </c>
      <c r="I29" s="7">
        <v>0.23</v>
      </c>
      <c r="J29" s="10">
        <v>0.23050000000000001</v>
      </c>
      <c r="K29" s="10">
        <v>66.95</v>
      </c>
    </row>
    <row r="30" spans="1:11" x14ac:dyDescent="0.3">
      <c r="A30" s="1" t="s">
        <v>26</v>
      </c>
      <c r="B30" s="8">
        <v>0.28000000000000003</v>
      </c>
      <c r="C30" s="7">
        <v>0.27600000000000002</v>
      </c>
      <c r="D30" s="7">
        <v>0.27600000000000002</v>
      </c>
      <c r="E30" s="7">
        <v>0.27600000000000002</v>
      </c>
      <c r="F30" s="6">
        <v>0.27600000000000002</v>
      </c>
      <c r="G30" s="8">
        <f>J30</f>
        <v>0.27300000000000002</v>
      </c>
      <c r="H30" s="7">
        <v>0.27600000000000002</v>
      </c>
      <c r="I30" s="8">
        <v>0.27600000000000002</v>
      </c>
      <c r="J30" s="8">
        <v>0.27300000000000002</v>
      </c>
      <c r="K30" s="7">
        <v>0.16200000000000001</v>
      </c>
    </row>
    <row r="31" spans="1:11" x14ac:dyDescent="0.3">
      <c r="A31" s="1" t="s">
        <v>27</v>
      </c>
      <c r="B31" s="13">
        <v>0.22320000000000001</v>
      </c>
      <c r="C31" s="8">
        <v>0.21260000000000001</v>
      </c>
      <c r="D31" s="8">
        <v>0.20150000000000001</v>
      </c>
      <c r="E31" s="7">
        <v>0.20150000000000001</v>
      </c>
      <c r="F31" s="6">
        <v>0.19189999999999999</v>
      </c>
      <c r="G31" s="8">
        <v>0.19189999999999999</v>
      </c>
      <c r="H31" s="7">
        <v>0.19189999999999999</v>
      </c>
      <c r="I31" s="3">
        <v>56.77</v>
      </c>
      <c r="J31" s="10">
        <v>56.77</v>
      </c>
      <c r="K31" s="10">
        <v>56.77</v>
      </c>
    </row>
    <row r="32" spans="1:11" x14ac:dyDescent="0.3">
      <c r="A32" s="1" t="s">
        <v>28</v>
      </c>
      <c r="B32" s="13">
        <v>0.30819999999999997</v>
      </c>
      <c r="C32" s="8">
        <v>0.29780000000000001</v>
      </c>
      <c r="D32" s="8">
        <v>0.28910000000000002</v>
      </c>
      <c r="E32" s="7">
        <v>0.2863</v>
      </c>
      <c r="F32" s="7">
        <v>0.27800000000000002</v>
      </c>
      <c r="G32" s="8">
        <v>0.26479999999999998</v>
      </c>
      <c r="H32" s="7">
        <v>0.26479999999999998</v>
      </c>
      <c r="I32" s="8">
        <v>0.25829999999999997</v>
      </c>
      <c r="J32" s="13">
        <v>0.25829999999999997</v>
      </c>
      <c r="K32" s="7">
        <v>0.252</v>
      </c>
    </row>
    <row r="33" spans="1:11" x14ac:dyDescent="0.3">
      <c r="A33" s="1" t="s">
        <v>29</v>
      </c>
      <c r="B33" s="13">
        <v>0.21340000000000001</v>
      </c>
      <c r="C33" s="8">
        <v>0.19400000000000001</v>
      </c>
      <c r="D33" s="8">
        <v>0.19400000000000001</v>
      </c>
      <c r="E33" s="7">
        <v>0.19400000000000001</v>
      </c>
      <c r="F33" s="7">
        <v>0.19400000000000001</v>
      </c>
      <c r="G33" s="8">
        <f>J33*1.06</f>
        <v>0.19398000000000001</v>
      </c>
      <c r="H33" s="7">
        <v>0.19398000000000001</v>
      </c>
      <c r="I33" s="8">
        <v>0.183</v>
      </c>
      <c r="J33" s="13">
        <v>0.183</v>
      </c>
      <c r="K33" s="10">
        <v>54.54</v>
      </c>
    </row>
    <row r="34" spans="1:11" x14ac:dyDescent="0.3">
      <c r="A34" s="1" t="s">
        <v>30</v>
      </c>
      <c r="B34" s="8">
        <v>0.253</v>
      </c>
      <c r="C34" s="8">
        <v>0.253</v>
      </c>
      <c r="D34" s="8">
        <v>0.253</v>
      </c>
      <c r="E34" s="7">
        <v>0.253</v>
      </c>
      <c r="F34" s="7">
        <v>0.246</v>
      </c>
      <c r="G34" s="8">
        <v>0.246</v>
      </c>
      <c r="H34" s="7">
        <v>0.246</v>
      </c>
      <c r="I34" s="2">
        <v>73.67</v>
      </c>
      <c r="J34" s="13">
        <v>73.67</v>
      </c>
      <c r="K34" s="10">
        <v>71.52</v>
      </c>
    </row>
    <row r="35" spans="1:11" x14ac:dyDescent="0.3">
      <c r="A35" s="1" t="s">
        <v>31</v>
      </c>
      <c r="B35" s="8">
        <v>0.224</v>
      </c>
      <c r="C35" s="8">
        <v>0.217</v>
      </c>
      <c r="D35" s="8">
        <v>0.217</v>
      </c>
      <c r="E35" s="7">
        <v>0.217</v>
      </c>
      <c r="F35" s="7">
        <v>0.217</v>
      </c>
      <c r="G35" s="8">
        <v>0.217</v>
      </c>
      <c r="H35" s="7">
        <v>0.217</v>
      </c>
      <c r="I35" s="13">
        <v>72.040000000000006</v>
      </c>
      <c r="J35" s="13">
        <v>72.040000000000006</v>
      </c>
      <c r="K35" s="10">
        <v>72.040000000000006</v>
      </c>
    </row>
    <row r="36" spans="1:11" x14ac:dyDescent="0.3">
      <c r="E36" s="20"/>
    </row>
    <row r="39" spans="1:11" x14ac:dyDescent="0.3">
      <c r="E39" s="20"/>
    </row>
  </sheetData>
  <sheetProtection algorithmName="SHA-512" hashValue="lJ60BQSaDBsgCUn3DuT1qGMKERlIHcoYPuX/lDqdoW8ZaO4Z7Ttdwc9CBpFw2N5rFnicU7KAIXNXu3j/YlkJ5w==" saltValue="nSdrzvSizvgutAfvYvfU9w==" spinCount="100000" sheet="1" objects="1" scenarios="1"/>
  <mergeCells count="2">
    <mergeCell ref="A2:K2"/>
    <mergeCell ref="A1:K1"/>
  </mergeCells>
  <pageMargins left="0.7" right="0.7" top="0.75" bottom="0.75" header="0.3" footer="0.3"/>
  <pageSetup paperSize="9" scale="7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0BC94875665D404BB1351B53C41FD2C000B66B8F719DC01B4694305143B2E27E83" ma:contentTypeVersion="217" ma:contentTypeDescription="" ma:contentTypeScope="" ma:versionID="1eaeab85e17095d687473c6b3c3dced9">
  <xsd:schema xmlns:xsd="http://www.w3.org/2001/XMLSchema" xmlns:xs="http://www.w3.org/2001/XMLSchema" xmlns:p="http://schemas.microsoft.com/office/2006/metadata/properties" xmlns:ns2="93ee4c26-3d1f-4b2e-b7fc-77560c54d2d1" targetNamespace="http://schemas.microsoft.com/office/2006/metadata/properties" ma:root="true" ma:fieldsID="63d1b71a59f0283650a0f39e93c32ca9" ns2:_="">
    <xsd:import namespace="93ee4c26-3d1f-4b2e-b7fc-77560c54d2d1"/>
    <xsd:element name="properties">
      <xsd:complexType>
        <xsd:sequence>
          <xsd:element name="documentManagement">
            <xsd:complexType>
              <xsd:all>
                <xsd:element ref="ns2:_vti_ItemDeclaredRecord" minOccurs="0"/>
                <xsd:element ref="ns2:eDocs_FileStatus"/>
                <xsd:element ref="ns2:eDocs_eFileName" minOccurs="0"/>
                <xsd:element ref="ns2:TaxCatchAll" minOccurs="0"/>
                <xsd:element ref="ns2:TaxCatchAllLabel" minOccurs="0"/>
                <xsd:element ref="ns2:h1f8bb4843d6459a8b809123185593c7" minOccurs="0"/>
                <xsd:element ref="ns2:nb1b8a72855341e18dd75ce464e281f2" minOccurs="0"/>
                <xsd:element ref="ns2:m02c691f3efa402dab5cbaa8c240a9e7" minOccurs="0"/>
                <xsd:element ref="ns2:mbbd3fafa5ab4e5eb8a6a5e099cef439" minOccurs="0"/>
                <xsd:element ref="ns2:fbaa881fc4ae443f9fdafbdd527793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e4c26-3d1f-4b2e-b7fc-77560c54d2d1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" nillable="true" ma:displayName="Declared Record" ma:hidden="true" ma:internalName="_vti_ItemDeclaredRecord">
      <xsd:simpleType>
        <xsd:restriction base="dms:DateTime"/>
      </xsd:simpleType>
    </xsd:element>
    <xsd:element name="eDocs_FileStatus" ma:index="5" ma:displayName="Status" ma:default="Live" ma:format="Dropdown" ma:indexed="true" ma:internalName="eDocs_FileStatus">
      <xsd:simpleType>
        <xsd:restriction base="dms:Choice">
          <xsd:enumeration value="Live"/>
          <xsd:enumeration value="Archived"/>
          <xsd:enumeration value="PendingLive"/>
          <xsd:enumeration value="PendingArchived"/>
          <xsd:enumeration value="Cancelled"/>
          <xsd:enumeration value="SentToNationalArchives"/>
        </xsd:restriction>
      </xsd:simpleType>
    </xsd:element>
    <xsd:element name="eDocs_eFileName" ma:index="8" nillable="true" ma:displayName="eFile Reference" ma:indexed="true" ma:internalName="eDocs_eFileName" ma:readOnly="false">
      <xsd:simpleType>
        <xsd:restriction base="dms:Text"/>
      </xsd:simpleType>
    </xsd:element>
    <xsd:element name="TaxCatchAll" ma:index="9" nillable="true" ma:displayName="Taxonomy Catch All Column" ma:hidden="true" ma:list="{cc513417-fe23-4f12-a01b-eec89f91fb18}" ma:internalName="TaxCatchAll" ma:showField="CatchAllData" ma:web="93ee4c26-3d1f-4b2e-b7fc-77560c54d2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cc513417-fe23-4f12-a01b-eec89f91fb18}" ma:internalName="TaxCatchAllLabel" ma:readOnly="true" ma:showField="CatchAllDataLabel" ma:web="93ee4c26-3d1f-4b2e-b7fc-77560c54d2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1f8bb4843d6459a8b809123185593c7" ma:index="13" nillable="true" ma:taxonomy="true" ma:internalName="h1f8bb4843d6459a8b809123185593c7" ma:taxonomyFieldName="eDocs_Series" ma:displayName="Series" ma:readOnly="false" ma:default="-1;#003|2468dc9f-6be6-450d-9cca-13e31c22560c" ma:fieldId="{11f8bb48-43d6-459a-8b80-9123185593c7}" ma:sspId="eebbd1e6-47d2-4842-8988-0ac63dbe3339" ma:termSetId="4dc6ce17-1441-4d6f-af7a-c7350b4eb35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b1b8a72855341e18dd75ce464e281f2" ma:index="15" nillable="true" ma:taxonomy="true" ma:internalName="nb1b8a72855341e18dd75ce464e281f2" ma:taxonomyFieldName="eDocs_Year" ma:displayName="Year" ma:readOnly="false" ma:fieldId="{7b1b8a72-8553-41e1-8dd7-5ce464e281f2}" ma:sspId="eebbd1e6-47d2-4842-8988-0ac63dbe3339" ma:termSetId="a141ecdb-69bf-443d-877c-333310d4d2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02c691f3efa402dab5cbaa8c240a9e7" ma:index="18" nillable="true" ma:taxonomy="true" ma:internalName="m02c691f3efa402dab5cbaa8c240a9e7" ma:taxonomyFieldName="eDocs_FileTopics" ma:displayName="File Topics" ma:readOnly="false" ma:fieldId="{602c691f-3efa-402d-ab5c-baa8c240a9e7}" ma:taxonomyMulti="true" ma:sspId="eebbd1e6-47d2-4842-8988-0ac63dbe3339" ma:termSetId="d7beb67e-cc35-47eb-a3d7-22fc0c2bde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bd3fafa5ab4e5eb8a6a5e099cef439" ma:index="20" nillable="true" ma:taxonomy="true" ma:internalName="mbbd3fafa5ab4e5eb8a6a5e099cef439" ma:taxonomyFieldName="eDocs_SecurityClassification" ma:displayName="Security Classification" ma:readOnly="false" ma:default="-1;#Unclassified|38981149-6ab4-492e-b035-5180b1eb9314" ma:fieldId="{6bbd3faf-a5ab-4e5e-b8a6-a5e099cef439}" ma:sspId="eebbd1e6-47d2-4842-8988-0ac63dbe3339" ma:termSetId="6cdf0fdf-130e-4222-9bb4-058e957460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aa881fc4ae443f9fdafbdd527793df" ma:index="22" nillable="true" ma:taxonomy="true" ma:internalName="fbaa881fc4ae443f9fdafbdd527793df" ma:taxonomyFieldName="eDocs_DocumentTopics" ma:displayName="Document Topics" ma:fieldId="{fbaa881f-c4ae-443f-9fda-fbdd527793df}" ma:taxonomyMulti="true" ma:sspId="eebbd1e6-47d2-4842-8988-0ac63dbe3339" ma:termSetId="d7beb67e-cc35-47eb-a3d7-22fc0c2bde9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ee4c26-3d1f-4b2e-b7fc-77560c54d2d1">
      <Value>6</Value>
      <Value>19</Value>
      <Value>4</Value>
      <Value>1</Value>
      <Value>7</Value>
    </TaxCatchAll>
    <eDocs_FileStatus xmlns="93ee4c26-3d1f-4b2e-b7fc-77560c54d2d1">Live</eDocs_FileStatus>
    <mbbd3fafa5ab4e5eb8a6a5e099cef439 xmlns="93ee4c26-3d1f-4b2e-b7fc-77560c54d2d1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38981149-6ab4-492e-b035-5180b1eb9314</TermId>
        </TermInfo>
      </Terms>
    </mbbd3fafa5ab4e5eb8a6a5e099cef439>
    <eDocs_eFileName xmlns="93ee4c26-3d1f-4b2e-b7fc-77560c54d2d1">HLGF003-001-2025</eDocs_eFileName>
    <fbaa881fc4ae443f9fdafbdd527793df xmlns="93ee4c26-3d1f-4b2e-b7fc-77560c54d2d1">
      <Terms xmlns="http://schemas.microsoft.com/office/infopath/2007/PartnerControls"/>
    </fbaa881fc4ae443f9fdafbdd527793df>
    <nb1b8a72855341e18dd75ce464e281f2 xmlns="93ee4c26-3d1f-4b2e-b7fc-77560c54d2d1">
      <Terms xmlns="http://schemas.microsoft.com/office/infopath/2007/PartnerControls">
        <TermInfo xmlns="http://schemas.microsoft.com/office/infopath/2007/PartnerControls">
          <TermName xmlns="http://schemas.microsoft.com/office/infopath/2007/PartnerControls">2025</TermName>
          <TermId xmlns="http://schemas.microsoft.com/office/infopath/2007/PartnerControls">f6fed9ff-3983-49e6-b579-41aeef7e1db9</TermId>
        </TermInfo>
      </Terms>
    </nb1b8a72855341e18dd75ce464e281f2>
    <_vti_ItemDeclaredRecord xmlns="93ee4c26-3d1f-4b2e-b7fc-77560c54d2d1" xsi:nil="true"/>
    <h1f8bb4843d6459a8b809123185593c7 xmlns="93ee4c26-3d1f-4b2e-b7fc-77560c54d2d1">
      <Terms xmlns="http://schemas.microsoft.com/office/infopath/2007/PartnerControls">
        <TermInfo xmlns="http://schemas.microsoft.com/office/infopath/2007/PartnerControls">
          <TermName xmlns="http://schemas.microsoft.com/office/infopath/2007/PartnerControls">003</TermName>
          <TermId xmlns="http://schemas.microsoft.com/office/infopath/2007/PartnerControls">2468dc9f-6be6-450d-9cca-13e31c22560c</TermId>
        </TermInfo>
      </Terms>
    </h1f8bb4843d6459a8b809123185593c7>
    <m02c691f3efa402dab5cbaa8c240a9e7 xmlns="93ee4c26-3d1f-4b2e-b7fc-77560c54d2d1">
      <Terms xmlns="http://schemas.microsoft.com/office/infopath/2007/PartnerControls">
        <TermInfo xmlns="http://schemas.microsoft.com/office/infopath/2007/PartnerControls">
          <TermName xmlns="http://schemas.microsoft.com/office/infopath/2007/PartnerControls">Local Government Finance</TermName>
          <TermId xmlns="http://schemas.microsoft.com/office/infopath/2007/PartnerControls">08abfc28-2228-4794-9c10-5a9df33829ef</TermId>
        </TermInfo>
        <TermInfo xmlns="http://schemas.microsoft.com/office/infopath/2007/PartnerControls">
          <TermName xmlns="http://schemas.microsoft.com/office/infopath/2007/PartnerControls">#Commercial Rates</TermName>
          <TermId xmlns="http://schemas.microsoft.com/office/infopath/2007/PartnerControls">11a81c2f-4060-41b9-8e38-5e0b1c01ab28</TermId>
        </TermInfo>
      </Terms>
    </m02c691f3efa402dab5cbaa8c240a9e7>
  </documentManagement>
</p:properties>
</file>

<file path=customXml/itemProps1.xml><?xml version="1.0" encoding="utf-8"?>
<ds:datastoreItem xmlns:ds="http://schemas.openxmlformats.org/officeDocument/2006/customXml" ds:itemID="{C1EE05AB-993D-48E2-8509-73CA229396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ee4c26-3d1f-4b2e-b7fc-77560c54d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5574DE-042A-40AA-B01B-0C1E68850E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ECE506-C1CF-40E6-A439-CB789511248F}">
  <ds:schemaRefs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93ee4c26-3d1f-4b2e-b7fc-77560c54d2d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ARVs</vt:lpstr>
    </vt:vector>
  </TitlesOfParts>
  <Manager/>
  <Company>DEHLG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Ruth Nolan - (DECLG)</dc:creator>
  <cp:keywords/>
  <dc:description/>
  <cp:lastModifiedBy>Barry Cooke (Housing)</cp:lastModifiedBy>
  <cp:revision/>
  <dcterms:created xsi:type="dcterms:W3CDTF">2012-06-19T11:11:43Z</dcterms:created>
  <dcterms:modified xsi:type="dcterms:W3CDTF">2026-02-06T15:39:10Z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0x0101000BC94875665D404BB1351B53C41FD2C000B66B8F719DC01B4694305143B2E27E83</vt:lpwstr>
  </property>
  <property fmtid="{D5CDD505-2E9C-101B-9397-08002B2CF9AE}" pid="3" name="eDocs_FileTopics">
    <vt:lpwstr>6;#Local Government Finance|08abfc28-2228-4794-9c10-5a9df33829ef;#7;##Commercial Rates|11a81c2f-4060-41b9-8e38-5e0b1c01ab28</vt:lpwstr>
  </property>
  <property fmtid="{D5CDD505-2E9C-101B-9397-08002B2CF9AE}" pid="4" name="eDocs_Year">
    <vt:lpwstr>19;#2025|f6fed9ff-3983-49e6-b579-41aeef7e1db9</vt:lpwstr>
  </property>
  <property fmtid="{D5CDD505-2E9C-101B-9397-08002B2CF9AE}" pid="5" name="eDocs_SeriesSubSeries">
    <vt:lpwstr>6;#003|2468dc9f-6be6-450d-9cca-13e31c22560c</vt:lpwstr>
  </property>
  <property fmtid="{D5CDD505-2E9C-101B-9397-08002B2CF9AE}" pid="6" name="_dlc_policyId">
    <vt:lpwstr/>
  </property>
  <property fmtid="{D5CDD505-2E9C-101B-9397-08002B2CF9AE}" pid="7" name="ItemRetentionFormula">
    <vt:lpwstr/>
  </property>
  <property fmtid="{D5CDD505-2E9C-101B-9397-08002B2CF9AE}" pid="8" name="_dlc_LastRun">
    <vt:lpwstr>10/19/2019 23:04:09</vt:lpwstr>
  </property>
  <property fmtid="{D5CDD505-2E9C-101B-9397-08002B2CF9AE}" pid="9" name="eDocs_SecurityClassification">
    <vt:lpwstr>4;#Unclassified|38981149-6ab4-492e-b035-5180b1eb9314</vt:lpwstr>
  </property>
  <property fmtid="{D5CDD505-2E9C-101B-9397-08002B2CF9AE}" pid="10" name="eDocs_SecurityClassificationTaxHTField0">
    <vt:lpwstr>Unclassified|38981149-6ab4-492e-b035-5180b1eb9314</vt:lpwstr>
  </property>
  <property fmtid="{D5CDD505-2E9C-101B-9397-08002B2CF9AE}" pid="11" name="eDocs_DocumentTopics">
    <vt:lpwstr/>
  </property>
  <property fmtid="{D5CDD505-2E9C-101B-9397-08002B2CF9AE}" pid="12" name="_docset_NoMedatataSyncRequired">
    <vt:lpwstr>False</vt:lpwstr>
  </property>
  <property fmtid="{D5CDD505-2E9C-101B-9397-08002B2CF9AE}" pid="13" name="eDocs_Series">
    <vt:lpwstr>1;#003|2468dc9f-6be6-450d-9cca-13e31c22560c</vt:lpwstr>
  </property>
  <property fmtid="{D5CDD505-2E9C-101B-9397-08002B2CF9AE}" pid="14" name="ge25f6a3ef6f42d4865685f2a74bf8c7">
    <vt:lpwstr/>
  </property>
  <property fmtid="{D5CDD505-2E9C-101B-9397-08002B2CF9AE}" pid="15" name="eDocs_RetentionPeriodTerm">
    <vt:lpwstr/>
  </property>
</Properties>
</file>